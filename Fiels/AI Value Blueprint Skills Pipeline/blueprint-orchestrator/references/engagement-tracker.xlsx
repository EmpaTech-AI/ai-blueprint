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gagement Log" sheetId="1" state="visible" r:id="rId3"/>
    <sheet name="Quality Trends" sheetId="2" state="visible" r:id="rId4"/>
    <sheet name="Remediation Details" sheetId="3" state="visible" r:id="rId5"/>
    <sheet name="Improvement A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<sst xmlns="http://schemas.openxmlformats.org/spreadsheetml/2006/main" count="140" uniqueCount="123">
  <si>
    <t xml:space="preserve">Engagement ID</t>
  </si>
  <si>
    <t xml:space="preserve">Client Name</t>
  </si>
  <si>
    <t xml:space="preserve">Industry</t>
  </si>
  <si>
    <t xml:space="preserve">Date Started</t>
  </si>
  <si>
    <t xml:space="preserve">Date Completed</t>
  </si>
  <si>
    <t xml:space="preserve">Material Sufficiency</t>
  </si>
  <si>
    <t xml:space="preserve">Form Quality Score (%)</t>
  </si>
  <si>
    <t xml:space="preserve">QG-1 First Pass (%)</t>
  </si>
  <si>
    <t xml:space="preserve">QG-1 Final (%)</t>
  </si>
  <si>
    <t xml:space="preserve">QG-2 First Pass (%)</t>
  </si>
  <si>
    <t xml:space="preserve">QG-2 Final (%)</t>
  </si>
  <si>
    <t xml:space="preserve">QG-3 First Pass (%)</t>
  </si>
  <si>
    <t xml:space="preserve">QG-3 Final (%)</t>
  </si>
  <si>
    <t xml:space="preserve">QG-4 First Pass (%)</t>
  </si>
  <si>
    <t xml:space="preserve">QG-4 Final (%)</t>
  </si>
  <si>
    <t xml:space="preserve">QG-FINAL First Pass (%)</t>
  </si>
  <si>
    <t xml:space="preserve">QG-FINAL Final (%)</t>
  </si>
  <si>
    <t xml:space="preserve">Gates Requiring Remediation</t>
  </si>
  <si>
    <t xml:space="preserve">Total Remediation Time (hrs)</t>
  </si>
  <si>
    <t xml:space="preserve">Consultant Review Time (hrs)</t>
  </si>
  <si>
    <t xml:space="preserve">Total Pipeline Time (hrs)</t>
  </si>
  <si>
    <t xml:space="preserve">Status</t>
  </si>
  <si>
    <t xml:space="preserve">Notes</t>
  </si>
  <si>
    <t xml:space="preserve">BP-001</t>
  </si>
  <si>
    <t xml:space="preserve">Nexus Manufacturing Ltd</t>
  </si>
  <si>
    <t xml:space="preserve">Manufacturing</t>
  </si>
  <si>
    <t xml:space="preserve">2026-04-01</t>
  </si>
  <si>
    <t xml:space="preserve">2026-04-22</t>
  </si>
  <si>
    <t xml:space="preserve">Sufficient</t>
  </si>
  <si>
    <t xml:space="preserve">Completed</t>
  </si>
  <si>
    <t xml:space="preserve">Strong client materials; QG-3 needed rework on Evidence Grounding</t>
  </si>
  <si>
    <t xml:space="preserve">BP-002</t>
  </si>
  <si>
    <t xml:space="preserve">Verdant Logistics Group</t>
  </si>
  <si>
    <t xml:space="preserve">Logistics &amp; Supply Chain</t>
  </si>
  <si>
    <t xml:space="preserve">2026-04-15</t>
  </si>
  <si>
    <t xml:space="preserve">2026-05-05</t>
  </si>
  <si>
    <t xml:space="preserve">Marginal</t>
  </si>
  <si>
    <t xml:space="preserve">Thin process documentation; created supplemental context</t>
  </si>
  <si>
    <t xml:space="preserve">BP-003</t>
  </si>
  <si>
    <t xml:space="preserve">Pinnacle Financial Services</t>
  </si>
  <si>
    <t xml:space="preserve">Financial Services</t>
  </si>
  <si>
    <t xml:space="preserve">2026-05-01</t>
  </si>
  <si>
    <t xml:space="preserve">In Progress</t>
  </si>
  <si>
    <t xml:space="preserve">Currently at QG-2; strong intake materials</t>
  </si>
  <si>
    <t xml:space="preserve">Blueprint Pipeline Quality Trends</t>
  </si>
  <si>
    <t xml:space="preserve">Metric</t>
  </si>
  <si>
    <t xml:space="preserve">Value</t>
  </si>
  <si>
    <t xml:space="preserve">Avg QG-1 First Pass Score (%)</t>
  </si>
  <si>
    <t xml:space="preserve">Avg QG-1 Final Score (%)</t>
  </si>
  <si>
    <t xml:space="preserve">Avg QG-2 First Pass Score (%)</t>
  </si>
  <si>
    <t xml:space="preserve">Avg QG-2 Final Score (%)</t>
  </si>
  <si>
    <t xml:space="preserve">Avg QG-3 First Pass Score (%)</t>
  </si>
  <si>
    <t xml:space="preserve">Avg QG-3 Final Score (%)</t>
  </si>
  <si>
    <t xml:space="preserve">Avg QG-4 First Pass Score (%)</t>
  </si>
  <si>
    <t xml:space="preserve">Avg QG-4 Final Score (%)</t>
  </si>
  <si>
    <t xml:space="preserve">Avg QG-FINAL First Pass Score (%)</t>
  </si>
  <si>
    <t xml:space="preserve">Avg QG-FINAL Final Score (%)</t>
  </si>
  <si>
    <t xml:space="preserve">Pipeline Performance</t>
  </si>
  <si>
    <t xml:space="preserve">Engagement Counts</t>
  </si>
  <si>
    <t xml:space="preserve">Avg Form Quality Score (%)</t>
  </si>
  <si>
    <t xml:space="preserve">Total Engagements</t>
  </si>
  <si>
    <t xml:space="preserve">Avg Total Remediation Time (hrs)</t>
  </si>
  <si>
    <t xml:space="preserve">Completed Engagements</t>
  </si>
  <si>
    <t xml:space="preserve">Avg Consultant Review Time (hrs)</t>
  </si>
  <si>
    <t xml:space="preserve">In Progress Engagements</t>
  </si>
  <si>
    <t xml:space="preserve">Avg Total Pipeline Time (hrs)</t>
  </si>
  <si>
    <t xml:space="preserve">Sufficient Material</t>
  </si>
  <si>
    <t xml:space="preserve">Avg Gates Requiring Remediation</t>
  </si>
  <si>
    <t xml:space="preserve">Marginal Material</t>
  </si>
  <si>
    <t xml:space="preserve">Gate Failure Rate (First Pass &lt;76%)</t>
  </si>
  <si>
    <t xml:space="preserve">Insufficient Material</t>
  </si>
  <si>
    <t xml:space="preserve">Note: Gate failure threshold = 76% (first pass). Scores below this trigger mandatory remediation per Quality Gate Algorithm.</t>
  </si>
  <si>
    <t xml:space="preserve">Gate ID</t>
  </si>
  <si>
    <t xml:space="preserve">First Pass Score (%)</t>
  </si>
  <si>
    <t xml:space="preserve">Primary Issue Dimension</t>
  </si>
  <si>
    <t xml:space="preserve">Issue Description</t>
  </si>
  <si>
    <t xml:space="preserve">Remediation Action Taken</t>
  </si>
  <si>
    <t xml:space="preserve">Time Spent (minutes)</t>
  </si>
  <si>
    <t xml:space="preserve">Final Score After Remediation (%)</t>
  </si>
  <si>
    <t xml:space="preserve">Root Cause</t>
  </si>
  <si>
    <t xml:space="preserve">QG-3</t>
  </si>
  <si>
    <t xml:space="preserve">Evidence Grounding</t>
  </si>
  <si>
    <t xml:space="preserve">Opportunity analysis lacked cited data; claims unsupported by client materials</t>
  </si>
  <si>
    <t xml:space="preserve">Re-ran opportunity-harvester with explicit citation requirement; added 4 source references</t>
  </si>
  <si>
    <t xml:space="preserve">Skill Execution</t>
  </si>
  <si>
    <t xml:space="preserve">QG-2</t>
  </si>
  <si>
    <t xml:space="preserve">Completeness</t>
  </si>
  <si>
    <t xml:space="preserve">Maturity scoring skipped 2 of 8 capability dimensions due to thin client documentation</t>
  </si>
  <si>
    <t xml:space="preserve">Conducted supplemental discovery call; obtained process maps for missing dimensions</t>
  </si>
  <si>
    <t xml:space="preserve">Input Quality</t>
  </si>
  <si>
    <t xml:space="preserve">ROI projections not anchored to client baseline data; generic industry benchmarks used</t>
  </si>
  <si>
    <t xml:space="preserve">Replaced benchmark assumptions with client-provided cost data; added caveat flags</t>
  </si>
  <si>
    <t xml:space="preserve">QG-1</t>
  </si>
  <si>
    <t xml:space="preserve">Consistency</t>
  </si>
  <si>
    <t xml:space="preserve">Industry classification inconsistent across intake form sections</t>
  </si>
  <si>
    <t xml:space="preserve">Standardised industry label; propagated correction through downstream context</t>
  </si>
  <si>
    <t xml:space="preserve">Systemic</t>
  </si>
  <si>
    <t xml:space="preserve">Date Identified</t>
  </si>
  <si>
    <t xml:space="preserve">Pattern Observed</t>
  </si>
  <si>
    <t xml:space="preserve">Affected Gate(s)</t>
  </si>
  <si>
    <t xml:space="preserve">Affected Skill(s)</t>
  </si>
  <si>
    <t xml:space="preserve">Proposed Improvement</t>
  </si>
  <si>
    <t xml:space="preserve">Priority</t>
  </si>
  <si>
    <t xml:space="preserve">Date Resolved</t>
  </si>
  <si>
    <t xml:space="preserve">Impact Observed</t>
  </si>
  <si>
    <t xml:space="preserve">2026-05-10</t>
  </si>
  <si>
    <t xml:space="preserve">QG-3 consistently scores lowest on Evidence Grounding across all engagements — citations absent or generic</t>
  </si>
  <si>
    <t xml:space="preserve">opportunity-harvester</t>
  </si>
  <si>
    <t xml:space="preserve">Add explicit citation-enforcement prompt block to opportunity-harvester skill; require [SOURCE: ...] tags on all quantified claims</t>
  </si>
  <si>
    <t xml:space="preserve">High</t>
  </si>
  <si>
    <t xml:space="preserve">Open</t>
  </si>
  <si>
    <t xml:space="preserve">2026-05-12</t>
  </si>
  <si>
    <t xml:space="preserve">Clients in manufacturing consistently provide thin process documentation, causing QG-2 completeness failures</t>
  </si>
  <si>
    <t xml:space="preserve">QG-1, QG-2</t>
  </si>
  <si>
    <t xml:space="preserve">blueprint-intake, blueprint-maturity</t>
  </si>
  <si>
    <t xml:space="preserve">Create manufacturing-specific material request template with minimum document checklist and process map requirements</t>
  </si>
  <si>
    <t xml:space="preserve">Medium</t>
  </si>
  <si>
    <t xml:space="preserve">2026-05-15</t>
  </si>
  <si>
    <t xml:space="preserve">Blueprint-assembly step drifts maturity scores in ~40% of engagements — scores shift vs. QG-2 baseline without explanation</t>
  </si>
  <si>
    <t xml:space="preserve">QG-4, QG-FINAL</t>
  </si>
  <si>
    <t xml:space="preserve">blueprint-assembly, blueprint-orchestrator</t>
  </si>
  <si>
    <t xml:space="preserve">Add automated score cross-check to assembly skill; flag any maturity score deviation &gt;5 points from QG-2 baseline for review</t>
  </si>
  <si>
    <t xml:space="preserve">Under investigation; suspect context window truncation of QG-2 output in long pipelines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</si>
</sst>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\%"/>
    <numFmt numFmtId="167" formatCode="0.0"/>
    <numFmt numFmtId="168" formatCode="0.0\%"/>
    <numFmt numFmtId="169" formatCode="0"/>
    <numFmt numFmtId="170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A27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A2733"/>
      <name val="Arial"/>
      <family val="0"/>
      <charset val="1"/>
    </font>
    <font>
      <i val="true"/>
      <sz val="9"/>
      <color rgb="FF5A6A7A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D689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5FA1"/>
        <bgColor rgb="FF5A6A7A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  <fill>
      <patternFill patternType="solid">
        <fgColor rgb="FFD6E3F5"/>
        <bgColor rgb="FFE8ECF1"/>
      </patternFill>
    </fill>
    <fill>
      <patternFill patternType="solid">
        <fgColor rgb="FFE8ECF1"/>
        <bgColor rgb="FFF5F7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CEDB"/>
      </left>
      <right style="thin">
        <color rgb="FFC5CEDB"/>
      </right>
      <top style="thin">
        <color rgb="FFC5CEDB"/>
      </top>
      <bottom style="thin">
        <color rgb="FFC5CEDB"/>
      </bottom>
      <diagonal/>
    </border>
    <border diagonalUp="false" diagonalDown="false">
      <left style="thin">
        <color rgb="FFC5CEDB"/>
      </left>
      <right/>
      <top style="thin">
        <color rgb="FFC5CEDB"/>
      </top>
      <bottom style="thin">
        <color rgb="FFC5CE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7FA"/>
      <rgbColor rgb="FFE8ECF1"/>
      <rgbColor rgb="FF660066"/>
      <rgbColor rgb="FFFF8080"/>
      <rgbColor rgb="FF2E5FA1"/>
      <rgbColor rgb="FFC5CE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3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68910"/>
      <rgbColor rgb="FFFF6600"/>
      <rgbColor rgb="FF5A6A7A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A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21"/>
    <col collapsed="false" customWidth="true" hidden="false" outlineLevel="0" max="17" min="17" style="0" width="18"/>
    <col collapsed="false" customWidth="true" hidden="false" outlineLevel="0" max="19" min="18" style="0" width="24"/>
    <col collapsed="false" customWidth="true" hidden="false" outlineLevel="0" max="20" min="20" style="0" width="25"/>
    <col collapsed="false" customWidth="true" hidden="false" outlineLevel="0" max="21" min="21" style="0" width="22"/>
    <col collapsed="false" customWidth="true" hidden="false" outlineLevel="0" max="22" min="22" style="0" width="14"/>
    <col collapsed="false" customWidth="true" hidden="false" outlineLevel="0" max="23" min="23" style="0" width="35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s">
        <v>23</v>
      </c>
      <c r="B2" s="3" t="s">
        <v>24</v>
      </c>
      <c r="C2" s="3" t="s">
        <v>25</v>
      </c>
      <c r="D2" s="4" t="s">
        <v>26</v>
      </c>
      <c r="E2" s="4" t="s">
        <v>27</v>
      </c>
      <c r="F2" s="2" t="s">
        <v>28</v>
      </c>
      <c r="G2" s="5" t="n">
        <v>87</v>
      </c>
      <c r="H2" s="5" t="n">
        <v>82</v>
      </c>
      <c r="I2" s="5" t="n">
        <v>89</v>
      </c>
      <c r="J2" s="5" t="n">
        <v>78</v>
      </c>
      <c r="K2" s="5" t="n">
        <v>85</v>
      </c>
      <c r="L2" s="5" t="n">
        <v>72</v>
      </c>
      <c r="M2" s="5" t="n">
        <v>81</v>
      </c>
      <c r="N2" s="5" t="n">
        <v>85</v>
      </c>
      <c r="O2" s="5" t="n">
        <v>90</v>
      </c>
      <c r="P2" s="5" t="n">
        <v>88</v>
      </c>
      <c r="Q2" s="5" t="n">
        <v>92</v>
      </c>
      <c r="R2" s="6" t="n">
        <v>2</v>
      </c>
      <c r="S2" s="6" t="n">
        <v>1.5</v>
      </c>
      <c r="T2" s="6" t="n">
        <v>3</v>
      </c>
      <c r="U2" s="6" t="n">
        <v>18.5</v>
      </c>
      <c r="V2" s="2" t="s">
        <v>29</v>
      </c>
      <c r="W2" s="3" t="s">
        <v>30</v>
      </c>
    </row>
    <row r="3" customFormat="false" ht="15" hidden="false" customHeight="false" outlineLevel="0" collapsed="false">
      <c r="A3" s="7" t="s">
        <v>31</v>
      </c>
      <c r="B3" s="8" t="s">
        <v>32</v>
      </c>
      <c r="C3" s="8" t="s">
        <v>33</v>
      </c>
      <c r="D3" s="9" t="s">
        <v>34</v>
      </c>
      <c r="E3" s="9" t="s">
        <v>35</v>
      </c>
      <c r="F3" s="7" t="s">
        <v>36</v>
      </c>
      <c r="G3" s="10" t="n">
        <v>74</v>
      </c>
      <c r="H3" s="10" t="n">
        <v>75</v>
      </c>
      <c r="I3" s="10" t="n">
        <v>80</v>
      </c>
      <c r="J3" s="10" t="n">
        <v>71</v>
      </c>
      <c r="K3" s="10" t="n">
        <v>78</v>
      </c>
      <c r="L3" s="10" t="n">
        <v>68</v>
      </c>
      <c r="M3" s="10" t="n">
        <v>76</v>
      </c>
      <c r="N3" s="10" t="n">
        <v>79</v>
      </c>
      <c r="O3" s="10" t="n">
        <v>83</v>
      </c>
      <c r="P3" s="10" t="n">
        <v>81</v>
      </c>
      <c r="Q3" s="10" t="n">
        <v>87</v>
      </c>
      <c r="R3" s="11" t="n">
        <v>3</v>
      </c>
      <c r="S3" s="11" t="n">
        <v>2.5</v>
      </c>
      <c r="T3" s="11" t="n">
        <v>4</v>
      </c>
      <c r="U3" s="11" t="n">
        <v>22</v>
      </c>
      <c r="V3" s="7" t="s">
        <v>29</v>
      </c>
      <c r="W3" s="8" t="s">
        <v>37</v>
      </c>
    </row>
    <row r="4" customFormat="false" ht="15" hidden="false" customHeight="false" outlineLevel="0" collapsed="false">
      <c r="A4" s="2" t="s">
        <v>38</v>
      </c>
      <c r="B4" s="3" t="s">
        <v>39</v>
      </c>
      <c r="C4" s="3" t="s">
        <v>40</v>
      </c>
      <c r="D4" s="4" t="s">
        <v>41</v>
      </c>
      <c r="E4" s="3"/>
      <c r="F4" s="2" t="s">
        <v>28</v>
      </c>
      <c r="G4" s="5" t="n">
        <v>91</v>
      </c>
      <c r="H4" s="5" t="n">
        <v>88</v>
      </c>
      <c r="I4" s="3"/>
      <c r="J4" s="5" t="n">
        <v>84</v>
      </c>
      <c r="K4" s="3"/>
      <c r="L4" s="3"/>
      <c r="M4" s="3"/>
      <c r="N4" s="3"/>
      <c r="O4" s="3"/>
      <c r="P4" s="3"/>
      <c r="Q4" s="3"/>
      <c r="R4" s="6" t="n">
        <v>0</v>
      </c>
      <c r="S4" s="6" t="n">
        <v>0</v>
      </c>
      <c r="T4" s="6" t="n">
        <v>1.5</v>
      </c>
      <c r="U4" s="3"/>
      <c r="V4" s="2" t="s">
        <v>42</v>
      </c>
      <c r="W4" s="3" t="s">
        <v>43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</sheetData>
  <dataValidations count="2">
    <dataValidation allowBlank="true" errorStyle="stop" operator="between" showDropDown="false" showErrorMessage="false" showInputMessage="false" sqref="F2:F1000" type="list">
      <formula1>"Sufficient,Marginal,Insufficient"</formula1>
      <formula2>0</formula2>
    </dataValidation>
    <dataValidation allowBlank="true" errorStyle="stop" operator="between" showDropDown="false" showErrorMessage="false" showInputMessage="false" sqref="V2:V1000" type="list">
      <formula1>"In Progress,Completed,On Hold,Cancelled"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18"/>
  </cols>
  <sheetData>
    <row r="1" customFormat="false" ht="27.75" hidden="false" customHeight="true" outlineLevel="0" collapsed="false">
      <c r="A1" s="12" t="s">
        <v>44</v>
      </c>
      <c r="B1" s="12"/>
      <c r="C1" s="12"/>
      <c r="D1" s="12"/>
    </row>
    <row r="3" customFormat="false" ht="15" hidden="false" customHeight="false" outlineLevel="0" collapsed="false">
      <c r="A3" s="1" t="s">
        <v>45</v>
      </c>
      <c r="B3" s="1" t="s">
        <v>46</v>
      </c>
      <c r="C3" s="1" t="s">
        <v>45</v>
      </c>
      <c r="D3" s="1" t="s">
        <v>46</v>
      </c>
    </row>
    <row r="4" customFormat="false" ht="15" hidden="false" customHeight="false" outlineLevel="0" collapsed="false">
      <c r="A4" s="13" t="s">
        <v>47</v>
      </c>
      <c r="B4" s="14" t="n">
        <f aca="false">IFERROR(AVERAGE('Engagement Log'!H2:H1000),"-")</f>
        <v>81.6666666666667</v>
      </c>
      <c r="C4" s="13" t="s">
        <v>48</v>
      </c>
      <c r="D4" s="14" t="n">
        <f aca="false">IFERROR(AVERAGE('Engagement Log'!I2:I1000),"-")</f>
        <v>84.5</v>
      </c>
    </row>
    <row r="5" customFormat="false" ht="15" hidden="false" customHeight="false" outlineLevel="0" collapsed="false">
      <c r="A5" s="13" t="s">
        <v>49</v>
      </c>
      <c r="B5" s="14" t="n">
        <f aca="false">IFERROR(AVERAGE('Engagement Log'!J2:J1000),"-")</f>
        <v>77.6666666666667</v>
      </c>
      <c r="C5" s="13" t="s">
        <v>50</v>
      </c>
      <c r="D5" s="14" t="n">
        <f aca="false">IFERROR(AVERAGE('Engagement Log'!K2:K1000),"-")</f>
        <v>81.5</v>
      </c>
    </row>
    <row r="6" customFormat="false" ht="15" hidden="false" customHeight="false" outlineLevel="0" collapsed="false">
      <c r="A6" s="13" t="s">
        <v>51</v>
      </c>
      <c r="B6" s="14" t="n">
        <f aca="false">IFERROR(AVERAGE('Engagement Log'!L2:L1000),"-")</f>
        <v>70</v>
      </c>
      <c r="C6" s="13" t="s">
        <v>52</v>
      </c>
      <c r="D6" s="14" t="n">
        <f aca="false">IFERROR(AVERAGE('Engagement Log'!M2:M1000),"-")</f>
        <v>78.5</v>
      </c>
    </row>
    <row r="7" customFormat="false" ht="15" hidden="false" customHeight="false" outlineLevel="0" collapsed="false">
      <c r="A7" s="13" t="s">
        <v>53</v>
      </c>
      <c r="B7" s="14" t="n">
        <f aca="false">IFERROR(AVERAGE('Engagement Log'!N2:N1000),"-")</f>
        <v>82</v>
      </c>
      <c r="C7" s="13" t="s">
        <v>54</v>
      </c>
      <c r="D7" s="14" t="n">
        <f aca="false">IFERROR(AVERAGE('Engagement Log'!O2:O1000),"-")</f>
        <v>86.5</v>
      </c>
    </row>
    <row r="8" customFormat="false" ht="15" hidden="false" customHeight="false" outlineLevel="0" collapsed="false">
      <c r="A8" s="13" t="s">
        <v>55</v>
      </c>
      <c r="B8" s="14" t="n">
        <f aca="false">IFERROR(AVERAGE('Engagement Log'!P2:P1000),"-")</f>
        <v>84.5</v>
      </c>
      <c r="C8" s="13" t="s">
        <v>56</v>
      </c>
      <c r="D8" s="14" t="n">
        <f aca="false">IFERROR(AVERAGE('Engagement Log'!Q2:Q1000),"-")</f>
        <v>89.5</v>
      </c>
    </row>
    <row r="10" customFormat="false" ht="15" hidden="false" customHeight="false" outlineLevel="0" collapsed="false">
      <c r="A10" s="1" t="s">
        <v>57</v>
      </c>
      <c r="B10" s="1"/>
      <c r="C10" s="1" t="s">
        <v>58</v>
      </c>
      <c r="D10" s="1"/>
    </row>
    <row r="11" customFormat="false" ht="15" hidden="false" customHeight="false" outlineLevel="0" collapsed="false">
      <c r="A11" s="13" t="s">
        <v>59</v>
      </c>
      <c r="B11" s="14" t="n">
        <f aca="false">IFERROR(AVERAGE('Engagement Log'!G2:G1000),"-")</f>
        <v>84</v>
      </c>
      <c r="C11" s="13" t="s">
        <v>60</v>
      </c>
      <c r="D11" s="15" t="n">
        <f aca="false">COUNTA('Engagement Log'!A2:A1000)</f>
        <v>3</v>
      </c>
    </row>
    <row r="12" customFormat="false" ht="15" hidden="false" customHeight="false" outlineLevel="0" collapsed="false">
      <c r="A12" s="13" t="s">
        <v>61</v>
      </c>
      <c r="B12" s="11" t="n">
        <f aca="false">IFERROR(AVERAGE('Engagement Log'!S2:S1000),"-")</f>
        <v>1.33333333333333</v>
      </c>
      <c r="C12" s="13" t="s">
        <v>62</v>
      </c>
      <c r="D12" s="15" t="n">
        <f aca="false">COUNTIF('Engagement Log'!V2:V1000,"Completed")</f>
        <v>2</v>
      </c>
    </row>
    <row r="13" customFormat="false" ht="15" hidden="false" customHeight="false" outlineLevel="0" collapsed="false">
      <c r="A13" s="13" t="s">
        <v>63</v>
      </c>
      <c r="B13" s="11" t="n">
        <f aca="false">IFERROR(AVERAGE('Engagement Log'!T2:T1000),"-")</f>
        <v>2.83333333333333</v>
      </c>
      <c r="C13" s="13" t="s">
        <v>64</v>
      </c>
      <c r="D13" s="15" t="n">
        <f aca="false">COUNTIF('Engagement Log'!V2:V1000,"In Progress")</f>
        <v>1</v>
      </c>
    </row>
    <row r="14" customFormat="false" ht="15" hidden="false" customHeight="false" outlineLevel="0" collapsed="false">
      <c r="A14" s="13" t="s">
        <v>65</v>
      </c>
      <c r="B14" s="11" t="n">
        <f aca="false">IFERROR(AVERAGE('Engagement Log'!U2:U1000),"-")</f>
        <v>20.25</v>
      </c>
      <c r="C14" s="13" t="s">
        <v>66</v>
      </c>
      <c r="D14" s="15" t="n">
        <f aca="false">COUNTIF('Engagement Log'!F2:F1000,"Sufficient")</f>
        <v>2</v>
      </c>
    </row>
    <row r="15" customFormat="false" ht="15" hidden="false" customHeight="false" outlineLevel="0" collapsed="false">
      <c r="A15" s="13" t="s">
        <v>67</v>
      </c>
      <c r="B15" s="11" t="n">
        <f aca="false">IFERROR(AVERAGE('Engagement Log'!R2:R1000),"-")</f>
        <v>1.66666666666667</v>
      </c>
      <c r="C15" s="13" t="s">
        <v>68</v>
      </c>
      <c r="D15" s="15" t="n">
        <f aca="false">COUNTIF('Engagement Log'!F2:F1000,"Marginal")</f>
        <v>1</v>
      </c>
    </row>
    <row r="16" customFormat="false" ht="15" hidden="false" customHeight="false" outlineLevel="0" collapsed="false">
      <c r="A16" s="13" t="s">
        <v>69</v>
      </c>
      <c r="B16" s="16" t="n">
        <f aca="false">IFERROR((COUNTIF('Engagement Log'!H2:H1000,"&lt;76")+COUNTIF('Engagement Log'!J2:J1000,"&lt;76")+COUNTIF('Engagement Log'!L2:L1000,"&lt;76")+COUNTIF('Engagement Log'!N2:N1000,"&lt;76")+COUNTIF('Engagement Log'!P2:P1000,"&lt;76"))/MAX(1,COUNTA('Engagement Log'!A2:A1000)*5),"-")</f>
        <v>0.266666666666667</v>
      </c>
      <c r="C16" s="13" t="s">
        <v>70</v>
      </c>
      <c r="D16" s="15" t="n">
        <f aca="false">COUNTIF('Engagement Log'!F2:F1000,"Insufficient")</f>
        <v>0</v>
      </c>
    </row>
    <row r="18" customFormat="false" ht="19.5" hidden="false" customHeight="true" outlineLevel="0" collapsed="false">
      <c r="A18" s="17" t="s">
        <v>71</v>
      </c>
      <c r="B18" s="17"/>
      <c r="C18" s="17"/>
      <c r="D18" s="17"/>
    </row>
  </sheetData>
  <mergeCells count="4">
    <mergeCell ref="A1:D1"/>
    <mergeCell ref="A10:B10"/>
    <mergeCell ref="C10:D10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6" min="5" style="0" width="45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24"/>
  </cols>
  <sheetData>
    <row r="1" customFormat="false" ht="21.75" hidden="false" customHeight="true" outlineLevel="0" collapsed="false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</row>
    <row r="2" customFormat="false" ht="30" hidden="false" customHeight="true" outlineLevel="0" collapsed="false">
      <c r="A2" s="2" t="s">
        <v>23</v>
      </c>
      <c r="B2" s="2" t="s">
        <v>80</v>
      </c>
      <c r="C2" s="5" t="n">
        <v>72</v>
      </c>
      <c r="D2" s="18" t="s">
        <v>81</v>
      </c>
      <c r="E2" s="18" t="s">
        <v>82</v>
      </c>
      <c r="F2" s="18" t="s">
        <v>83</v>
      </c>
      <c r="G2" s="2" t="n">
        <v>45</v>
      </c>
      <c r="H2" s="5" t="n">
        <v>81</v>
      </c>
      <c r="I2" s="18" t="s">
        <v>84</v>
      </c>
    </row>
    <row r="3" customFormat="false" ht="30" hidden="false" customHeight="true" outlineLevel="0" collapsed="false">
      <c r="A3" s="7" t="s">
        <v>31</v>
      </c>
      <c r="B3" s="7" t="s">
        <v>85</v>
      </c>
      <c r="C3" s="10" t="n">
        <v>71</v>
      </c>
      <c r="D3" s="19" t="s">
        <v>86</v>
      </c>
      <c r="E3" s="19" t="s">
        <v>87</v>
      </c>
      <c r="F3" s="19" t="s">
        <v>88</v>
      </c>
      <c r="G3" s="7" t="n">
        <v>60</v>
      </c>
      <c r="H3" s="10" t="n">
        <v>78</v>
      </c>
      <c r="I3" s="19" t="s">
        <v>89</v>
      </c>
    </row>
    <row r="4" customFormat="false" ht="30" hidden="false" customHeight="true" outlineLevel="0" collapsed="false">
      <c r="A4" s="2" t="s">
        <v>31</v>
      </c>
      <c r="B4" s="2" t="s">
        <v>80</v>
      </c>
      <c r="C4" s="5" t="n">
        <v>68</v>
      </c>
      <c r="D4" s="18" t="s">
        <v>81</v>
      </c>
      <c r="E4" s="18" t="s">
        <v>90</v>
      </c>
      <c r="F4" s="18" t="s">
        <v>91</v>
      </c>
      <c r="G4" s="2" t="n">
        <v>55</v>
      </c>
      <c r="H4" s="5" t="n">
        <v>76</v>
      </c>
      <c r="I4" s="18" t="s">
        <v>89</v>
      </c>
    </row>
    <row r="5" customFormat="false" ht="30" hidden="false" customHeight="true" outlineLevel="0" collapsed="false">
      <c r="A5" s="7" t="s">
        <v>31</v>
      </c>
      <c r="B5" s="7" t="s">
        <v>92</v>
      </c>
      <c r="C5" s="10" t="n">
        <v>75</v>
      </c>
      <c r="D5" s="19" t="s">
        <v>93</v>
      </c>
      <c r="E5" s="19" t="s">
        <v>94</v>
      </c>
      <c r="F5" s="19" t="s">
        <v>95</v>
      </c>
      <c r="G5" s="7" t="n">
        <v>20</v>
      </c>
      <c r="H5" s="10" t="n">
        <v>80</v>
      </c>
      <c r="I5" s="19" t="s">
        <v>96</v>
      </c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</row>
  </sheetData>
  <dataValidations count="3">
    <dataValidation allowBlank="true" errorStyle="stop" operator="between" showDropDown="false" showErrorMessage="false" showInputMessage="false" sqref="B2:B1000" type="list">
      <formula1>"QG-1,QG-2,QG-3,QG-4,QG-FINAL"</formula1>
      <formula2>0</formula2>
    </dataValidation>
    <dataValidation allowBlank="true" errorStyle="stop" operator="between" showDropDown="false" showErrorMessage="false" showInputMessage="false" sqref="D2:D1000" type="list">
      <formula1>"Evidence Grounding,Completeness,Consistency,Downstream Readiness,Hallucination Risk"</formula1>
      <formula2>0</formula2>
    </dataValidation>
    <dataValidation allowBlank="true" errorStyle="stop" operator="between" showDropDown="false" showErrorMessage="false" showInputMessage="false" sqref="I2:I1000" type="list">
      <formula1>"Input Quality,Skill Execution,Systemic"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40"/>
  </cols>
  <sheetData>
    <row r="1" customFormat="false" ht="21.75" hidden="false" customHeight="true" outlineLevel="0" collapsed="false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21</v>
      </c>
      <c r="H1" s="1" t="s">
        <v>103</v>
      </c>
      <c r="I1" s="1" t="s">
        <v>104</v>
      </c>
    </row>
    <row r="2" customFormat="false" ht="45" hidden="false" customHeight="true" outlineLevel="0" collapsed="false">
      <c r="A2" s="4" t="s">
        <v>105</v>
      </c>
      <c r="B2" s="18" t="s">
        <v>106</v>
      </c>
      <c r="C2" s="18" t="s">
        <v>80</v>
      </c>
      <c r="D2" s="18" t="s">
        <v>107</v>
      </c>
      <c r="E2" s="18" t="s">
        <v>108</v>
      </c>
      <c r="F2" s="20" t="s">
        <v>109</v>
      </c>
      <c r="G2" s="2" t="s">
        <v>110</v>
      </c>
      <c r="H2" s="18"/>
      <c r="I2" s="18"/>
    </row>
    <row r="3" customFormat="false" ht="45" hidden="false" customHeight="true" outlineLevel="0" collapsed="false">
      <c r="A3" s="9" t="s">
        <v>111</v>
      </c>
      <c r="B3" s="19" t="s">
        <v>112</v>
      </c>
      <c r="C3" s="19" t="s">
        <v>113</v>
      </c>
      <c r="D3" s="19" t="s">
        <v>114</v>
      </c>
      <c r="E3" s="19" t="s">
        <v>115</v>
      </c>
      <c r="F3" s="21" t="s">
        <v>116</v>
      </c>
      <c r="G3" s="7" t="s">
        <v>110</v>
      </c>
      <c r="H3" s="19"/>
      <c r="I3" s="19"/>
    </row>
    <row r="4" customFormat="false" ht="45" hidden="false" customHeight="true" outlineLevel="0" collapsed="false">
      <c r="A4" s="4" t="s">
        <v>117</v>
      </c>
      <c r="B4" s="18" t="s">
        <v>118</v>
      </c>
      <c r="C4" s="18" t="s">
        <v>119</v>
      </c>
      <c r="D4" s="18" t="s">
        <v>120</v>
      </c>
      <c r="E4" s="18" t="s">
        <v>121</v>
      </c>
      <c r="F4" s="20" t="s">
        <v>109</v>
      </c>
      <c r="G4" s="2" t="s">
        <v>42</v>
      </c>
      <c r="H4" s="18"/>
      <c r="I4" s="18" t="s">
        <v>122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  <c r="I15" s="8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</row>
  </sheetData>
  <dataValidations count="2">
    <dataValidation allowBlank="true" errorStyle="stop" operator="between" showDropDown="false" showErrorMessage="false" showInputMessage="false" sqref="F2:F1000" type="list">
      <formula1>"High,Medium,Low"</formula1>
      <formula2>0</formula2>
    </dataValidation>
    <dataValidation allowBlank="true" errorStyle="stop" operator="between" showDropDown="false" showErrorMessage="false" showInputMessage="false" sqref="G2:G1000" type="list">
      <formula1>"Open,In Progress,Completed"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2026-05-18T09:01:34Z</dcterms:created>
  <dc:creator>openpyxl</dc:creator>
  <dc:description/>
  <dc:language>en-US</dc:language>
  <cp:lastModifiedBy/>
  <dcterms:modified xsi:type="dcterms:W3CDTF">2026-05-18T09:01:35Z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